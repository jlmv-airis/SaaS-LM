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 Emmanuel\OneDrive\Escritorio\,\CLIENTES\EATICS\"/>
    </mc:Choice>
  </mc:AlternateContent>
  <xr:revisionPtr revIDLastSave="0" documentId="13_ncr:1_{EB495725-11A2-4DF9-8542-993B5C445382}" xr6:coauthVersionLast="47" xr6:coauthVersionMax="47" xr10:uidLastSave="{00000000-0000-0000-0000-000000000000}"/>
  <bookViews>
    <workbookView xWindow="-108" yWindow="-108" windowWidth="23256" windowHeight="12456" xr2:uid="{8C7B56BC-7E4E-4B8C-A9DB-8D0B381F1C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8" i="1" l="1"/>
  <c r="I49" i="1"/>
  <c r="I50" i="1"/>
  <c r="J48" i="1"/>
  <c r="J49" i="1"/>
  <c r="J50" i="1"/>
  <c r="I47" i="1"/>
  <c r="J47" i="1"/>
  <c r="I46" i="1"/>
  <c r="J46" i="1"/>
  <c r="I45" i="1"/>
  <c r="J45" i="1"/>
  <c r="I44" i="1"/>
  <c r="J44" i="1"/>
  <c r="I43" i="1"/>
  <c r="J43" i="1"/>
  <c r="I42" i="1"/>
  <c r="J42" i="1"/>
  <c r="I41" i="1"/>
  <c r="J41" i="1"/>
  <c r="I40" i="1"/>
  <c r="J40" i="1"/>
  <c r="I39" i="1"/>
  <c r="J39" i="1"/>
  <c r="I38" i="1"/>
  <c r="J38" i="1"/>
  <c r="I37" i="1"/>
  <c r="J37" i="1"/>
  <c r="I36" i="1"/>
  <c r="J36" i="1"/>
  <c r="I35" i="1"/>
  <c r="J35" i="1"/>
  <c r="I34" i="1"/>
  <c r="J34" i="1"/>
  <c r="I33" i="1"/>
  <c r="J33" i="1"/>
  <c r="I32" i="1"/>
  <c r="J32" i="1"/>
  <c r="I31" i="1"/>
  <c r="J31" i="1"/>
  <c r="I30" i="1"/>
  <c r="J30" i="1"/>
  <c r="I29" i="1"/>
  <c r="J29" i="1"/>
  <c r="I28" i="1"/>
  <c r="J28" i="1"/>
  <c r="I27" i="1"/>
  <c r="J27" i="1"/>
  <c r="I26" i="1"/>
  <c r="J26" i="1"/>
  <c r="I25" i="1"/>
  <c r="J25" i="1"/>
  <c r="I24" i="1"/>
  <c r="J24" i="1"/>
  <c r="I23" i="1"/>
  <c r="J23" i="1"/>
  <c r="I22" i="1"/>
  <c r="J22" i="1"/>
  <c r="I21" i="1"/>
  <c r="J21" i="1"/>
  <c r="I20" i="1"/>
  <c r="J20" i="1"/>
  <c r="I19" i="1"/>
  <c r="J19" i="1"/>
  <c r="I18" i="1"/>
  <c r="J18" i="1"/>
  <c r="I17" i="1"/>
  <c r="J17" i="1"/>
  <c r="I16" i="1"/>
  <c r="J16" i="1"/>
  <c r="I15" i="1"/>
  <c r="J15" i="1"/>
  <c r="I14" i="1"/>
  <c r="J14" i="1"/>
  <c r="I13" i="1"/>
  <c r="J13" i="1"/>
  <c r="I12" i="1"/>
  <c r="J12" i="1"/>
  <c r="I11" i="1"/>
  <c r="J11" i="1"/>
  <c r="I10" i="1"/>
  <c r="J10" i="1"/>
  <c r="I9" i="1"/>
  <c r="J9" i="1"/>
  <c r="I8" i="1"/>
  <c r="J8" i="1"/>
  <c r="J4" i="1"/>
  <c r="J5" i="1"/>
  <c r="J6" i="1"/>
  <c r="J7" i="1"/>
  <c r="I4" i="1"/>
  <c r="I5" i="1"/>
  <c r="I6" i="1"/>
  <c r="I7" i="1"/>
</calcChain>
</file>

<file path=xl/sharedStrings.xml><?xml version="1.0" encoding="utf-8"?>
<sst xmlns="http://schemas.openxmlformats.org/spreadsheetml/2006/main" count="180" uniqueCount="87">
  <si>
    <t xml:space="preserve">Folio </t>
  </si>
  <si>
    <t xml:space="preserve">Proveedor </t>
  </si>
  <si>
    <t>Cliente</t>
  </si>
  <si>
    <t xml:space="preserve">Fecha </t>
  </si>
  <si>
    <t xml:space="preserve">Conceptos </t>
  </si>
  <si>
    <t>Iva 16%</t>
  </si>
  <si>
    <t>Total</t>
  </si>
  <si>
    <t>Subtotal</t>
  </si>
  <si>
    <t xml:space="preserve">Frigo Naos </t>
  </si>
  <si>
    <t xml:space="preserve">Eatics </t>
  </si>
  <si>
    <t xml:space="preserve">RELACIÓN </t>
  </si>
  <si>
    <t>OAA17714</t>
  </si>
  <si>
    <t>F480</t>
  </si>
  <si>
    <t>F481</t>
  </si>
  <si>
    <t>OAA18161</t>
  </si>
  <si>
    <t>F489</t>
  </si>
  <si>
    <t>OAA18352</t>
  </si>
  <si>
    <t>F506</t>
  </si>
  <si>
    <t>OAA18797</t>
  </si>
  <si>
    <t>OAA18162</t>
  </si>
  <si>
    <t>Maquila - limpieza</t>
  </si>
  <si>
    <t xml:space="preserve">Almacenaje refrigerado por el mes de abril </t>
  </si>
  <si>
    <t>Almacenaje refrigerado por el mes de marzo</t>
  </si>
  <si>
    <t>Almacenaje refrigerado por el mes de febrero</t>
  </si>
  <si>
    <t>Almacenaje refrigerado por el mes de enero</t>
  </si>
  <si>
    <t>F482</t>
  </si>
  <si>
    <t>F487</t>
  </si>
  <si>
    <t>OAA18209</t>
  </si>
  <si>
    <t>F491</t>
  </si>
  <si>
    <t>OAA18389</t>
  </si>
  <si>
    <t>F494</t>
  </si>
  <si>
    <t>OAA18463</t>
  </si>
  <si>
    <t>OAA18582</t>
  </si>
  <si>
    <t>F497</t>
  </si>
  <si>
    <t>F500</t>
  </si>
  <si>
    <t>OAA18693</t>
  </si>
  <si>
    <t>F505</t>
  </si>
  <si>
    <t>OAA18780</t>
  </si>
  <si>
    <t>F509</t>
  </si>
  <si>
    <t>OAA18974</t>
  </si>
  <si>
    <t>F483</t>
  </si>
  <si>
    <t>OAA18164</t>
  </si>
  <si>
    <t>Maquila - Reempaque</t>
  </si>
  <si>
    <t>F486</t>
  </si>
  <si>
    <t>OAA18211</t>
  </si>
  <si>
    <t>F490</t>
  </si>
  <si>
    <t>OAA18391</t>
  </si>
  <si>
    <t>F495</t>
  </si>
  <si>
    <t>OAA18465</t>
  </si>
  <si>
    <t>F498</t>
  </si>
  <si>
    <t>OAA18581</t>
  </si>
  <si>
    <t>F501</t>
  </si>
  <si>
    <t>OAA18694</t>
  </si>
  <si>
    <t>F504</t>
  </si>
  <si>
    <t>OAA18779</t>
  </si>
  <si>
    <t>F508</t>
  </si>
  <si>
    <t>OAA18781</t>
  </si>
  <si>
    <t>Maquila - Etiquetado</t>
  </si>
  <si>
    <t>F479</t>
  </si>
  <si>
    <t>OAA18163</t>
  </si>
  <si>
    <t>F485</t>
  </si>
  <si>
    <t>OAA18210</t>
  </si>
  <si>
    <t>F492</t>
  </si>
  <si>
    <t>OAA18390</t>
  </si>
  <si>
    <t>F493</t>
  </si>
  <si>
    <t>OAA18464</t>
  </si>
  <si>
    <t>F496</t>
  </si>
  <si>
    <t>OAA18583</t>
  </si>
  <si>
    <t>OAA18695</t>
  </si>
  <si>
    <t>F502</t>
  </si>
  <si>
    <t>F503</t>
  </si>
  <si>
    <t>OAA1873</t>
  </si>
  <si>
    <t>F507</t>
  </si>
  <si>
    <t>OAA18975</t>
  </si>
  <si>
    <t>CONCENTRADO DE OPERACIONES EATICS</t>
  </si>
  <si>
    <t>F515</t>
  </si>
  <si>
    <t>OAA19152</t>
  </si>
  <si>
    <t>F514</t>
  </si>
  <si>
    <t>OAA19153</t>
  </si>
  <si>
    <t>F516</t>
  </si>
  <si>
    <t>OAA19156</t>
  </si>
  <si>
    <t>F518</t>
  </si>
  <si>
    <t>OAA19223</t>
  </si>
  <si>
    <t>F519</t>
  </si>
  <si>
    <t>OAA19222</t>
  </si>
  <si>
    <t>F517</t>
  </si>
  <si>
    <t>OAA19221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</si>
</sst>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44" fontId="0" fillId="0" borderId="0" xfId="1" applyFont="1"/>
    <xf numFmtId="49" fontId="3" fillId="0" borderId="0" xfId="0" applyNumberFormat="1" applyFont="1"/>
    <xf numFmtId="14" fontId="3" fillId="0" borderId="0" xfId="0" applyNumberFormat="1" applyFont="1"/>
    <xf numFmtId="44" fontId="3" fillId="0" borderId="0" xfId="1" applyFont="1"/>
    <xf numFmtId="0" fontId="2" fillId="3" borderId="0" xfId="0" applyFont="1" applyFill="1" applyAlignment="1">
      <alignment horizontal="center" vertical="center"/>
    </xf>
    <xf numFmtId="44" fontId="2" fillId="3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4" fontId="3" fillId="0" borderId="0" xfId="1" applyFon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44" fontId="3" fillId="0" borderId="0" xfId="2" applyNumberFormat="1" applyFont="1" applyAlignment="1">
      <alignment horizontal="center" vertical="center"/>
    </xf>
  </cellXfs>
  <cellStyles count="3">
    <cellStyle name="Millares" xfId="2" builtinId="3"/>
    <cellStyle name="Moneda" xfId="1" builtinId="4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6B6380-BBEB-454B-862E-59FE3D5DA7DC}" name="Tabla1" displayName="Tabla1" ref="B3:J50" totalsRowShown="0" headerRowDxfId="10" dataDxfId="9" headerRowCellStyle="Millares" dataCellStyle="Millares">
  <autoFilter ref="B3:J50" xr:uid="{176B6380-BBEB-454B-862E-59FE3D5DA7DC}"/>
  <sortState xmlns:xlrd2="http://schemas.microsoft.com/office/spreadsheetml/2017/richdata2" ref="B4:J7">
    <sortCondition ref="D3:D7"/>
  </sortState>
  <tableColumns count="9">
    <tableColumn id="1" xr3:uid="{0935A161-004C-45A1-B40D-879A5D46F48D}" name="Proveedor " dataDxfId="8"/>
    <tableColumn id="2" xr3:uid="{741ABB6D-5FFE-4467-828C-2B02C56D9FF8}" name="Cliente" dataDxfId="7"/>
    <tableColumn id="3" xr3:uid="{C28C0441-3911-4A18-9C3C-A57740FBA126}" name="Folio " dataDxfId="6"/>
    <tableColumn id="9" xr3:uid="{40CFA34C-34E3-468D-B93D-6B74615F4CFB}" name="RELACIÓN " dataDxfId="5"/>
    <tableColumn id="4" xr3:uid="{9DCC54C1-E1A7-4F14-8486-669D0E0083FE}" name="Fecha " dataDxfId="4"/>
    <tableColumn id="5" xr3:uid="{324E6249-870A-4C6F-9610-8ABBCAF90BC3}" name="Conceptos " dataDxfId="3"/>
    <tableColumn id="6" xr3:uid="{5998874F-85DF-48D9-B50F-50922642A6F3}" name="Subtotal" dataDxfId="2" dataCellStyle="Millares"/>
    <tableColumn id="7" xr3:uid="{78BAF12D-B03C-4752-8DDF-4A2E80BE00E7}" name="Iva 16%" dataDxfId="1" dataCellStyle="Millares">
      <calculatedColumnFormula>+Tabla1[[#This Row],[Subtotal]]*0.16</calculatedColumnFormula>
    </tableColumn>
    <tableColumn id="8" xr3:uid="{0BCFBD8C-503B-4E03-8D93-CAAF066E61AA}" name="Total" dataDxfId="0" dataCellStyle="Millares">
      <calculatedColumnFormula>+Tabla1[[#This Row],[Subtotal]]*1.16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3153-C82C-46F8-83CC-51D588903706}">
  <dimension ref="B1:J50"/>
  <sheetViews>
    <sheetView tabSelected="1" topLeftCell="A13" workbookViewId="0">
      <selection activeCell="G48" sqref="G48:G50"/>
    </sheetView>
  </sheetViews>
  <sheetFormatPr baseColWidth="10" defaultRowHeight="14.4" x14ac:dyDescent="0.3"/>
  <cols>
    <col min="1" max="1" width="4.109375" customWidth="1"/>
    <col min="2" max="2" width="43.6640625" bestFit="1" customWidth="1"/>
    <col min="3" max="3" width="17.33203125" bestFit="1" customWidth="1"/>
    <col min="4" max="4" width="11.21875" bestFit="1" customWidth="1"/>
    <col min="5" max="5" width="11.21875" customWidth="1"/>
    <col min="6" max="6" width="12.44140625" bestFit="1" customWidth="1"/>
    <col min="7" max="7" width="42.44140625" bestFit="1" customWidth="1"/>
    <col min="8" max="8" width="15.77734375" style="1" bestFit="1" customWidth="1"/>
    <col min="9" max="9" width="15" style="1" bestFit="1" customWidth="1"/>
    <col min="10" max="10" width="15.109375" style="1" bestFit="1" customWidth="1"/>
  </cols>
  <sheetData>
    <row r="1" spans="2:10" x14ac:dyDescent="0.3">
      <c r="B1" s="11" t="s">
        <v>74</v>
      </c>
      <c r="C1" s="11"/>
      <c r="D1" s="11"/>
      <c r="E1" s="11"/>
      <c r="F1" s="11"/>
      <c r="G1" s="11"/>
      <c r="H1" s="11"/>
      <c r="I1" s="11"/>
      <c r="J1" s="11"/>
    </row>
    <row r="2" spans="2:10" x14ac:dyDescent="0.3">
      <c r="B2" s="11"/>
      <c r="C2" s="11"/>
      <c r="D2" s="11"/>
      <c r="E2" s="11"/>
      <c r="F2" s="11"/>
      <c r="G2" s="11"/>
      <c r="H2" s="11"/>
      <c r="I2" s="11"/>
      <c r="J2" s="11"/>
    </row>
    <row r="3" spans="2:10" ht="15.6" x14ac:dyDescent="0.3">
      <c r="B3" s="5" t="s">
        <v>1</v>
      </c>
      <c r="C3" s="5" t="s">
        <v>2</v>
      </c>
      <c r="D3" s="5" t="s">
        <v>0</v>
      </c>
      <c r="E3" s="5" t="s">
        <v>10</v>
      </c>
      <c r="F3" s="5" t="s">
        <v>3</v>
      </c>
      <c r="G3" s="5" t="s">
        <v>4</v>
      </c>
      <c r="H3" s="6" t="s">
        <v>7</v>
      </c>
      <c r="I3" s="6" t="s">
        <v>5</v>
      </c>
      <c r="J3" s="6" t="s">
        <v>6</v>
      </c>
    </row>
    <row r="4" spans="2:10" x14ac:dyDescent="0.3">
      <c r="B4" s="2" t="s">
        <v>8</v>
      </c>
      <c r="C4" s="2" t="s">
        <v>9</v>
      </c>
      <c r="D4" s="2" t="s">
        <v>13</v>
      </c>
      <c r="E4" s="2" t="s">
        <v>11</v>
      </c>
      <c r="F4" s="3">
        <v>46076</v>
      </c>
      <c r="G4" s="3" t="s">
        <v>24</v>
      </c>
      <c r="H4" s="4">
        <v>98226</v>
      </c>
      <c r="I4" s="4">
        <f>+Tabla1[[#This Row],[Subtotal]]*0.16</f>
        <v>15716.16</v>
      </c>
      <c r="J4" s="4">
        <f>+Tabla1[[#This Row],[Subtotal]]*1.16</f>
        <v>113942.15999999999</v>
      </c>
    </row>
    <row r="5" spans="2:10" x14ac:dyDescent="0.3">
      <c r="B5" s="2" t="s">
        <v>8</v>
      </c>
      <c r="C5" s="2" t="s">
        <v>9</v>
      </c>
      <c r="D5" s="2" t="s">
        <v>12</v>
      </c>
      <c r="E5" s="2" t="s">
        <v>14</v>
      </c>
      <c r="F5" s="3">
        <v>46076</v>
      </c>
      <c r="G5" s="3" t="s">
        <v>23</v>
      </c>
      <c r="H5" s="4">
        <v>98226</v>
      </c>
      <c r="I5" s="4">
        <f>+Tabla1[[#This Row],[Subtotal]]*0.16</f>
        <v>15716.16</v>
      </c>
      <c r="J5" s="4">
        <f>+Tabla1[[#This Row],[Subtotal]]*1.16</f>
        <v>113942.15999999999</v>
      </c>
    </row>
    <row r="6" spans="2:10" x14ac:dyDescent="0.3">
      <c r="B6" s="2" t="s">
        <v>8</v>
      </c>
      <c r="C6" s="2" t="s">
        <v>9</v>
      </c>
      <c r="D6" s="2" t="s">
        <v>15</v>
      </c>
      <c r="E6" s="2" t="s">
        <v>16</v>
      </c>
      <c r="F6" s="3">
        <v>46087</v>
      </c>
      <c r="G6" s="3" t="s">
        <v>22</v>
      </c>
      <c r="H6" s="4">
        <v>98226</v>
      </c>
      <c r="I6" s="4">
        <f>+Tabla1[[#This Row],[Subtotal]]*0.16</f>
        <v>15716.16</v>
      </c>
      <c r="J6" s="4">
        <f>+Tabla1[[#This Row],[Subtotal]]*1.16</f>
        <v>113942.15999999999</v>
      </c>
    </row>
    <row r="7" spans="2:10" x14ac:dyDescent="0.3">
      <c r="B7" s="2" t="s">
        <v>8</v>
      </c>
      <c r="C7" s="2" t="s">
        <v>9</v>
      </c>
      <c r="D7" s="2" t="s">
        <v>17</v>
      </c>
      <c r="E7" s="2" t="s">
        <v>18</v>
      </c>
      <c r="F7" s="3">
        <v>46118</v>
      </c>
      <c r="G7" s="3" t="s">
        <v>21</v>
      </c>
      <c r="H7" s="4">
        <v>98226</v>
      </c>
      <c r="I7" s="4">
        <f>+Tabla1[[#This Row],[Subtotal]]*0.16</f>
        <v>15716.16</v>
      </c>
      <c r="J7" s="4">
        <f>+Tabla1[[#This Row],[Subtotal]]*1.16</f>
        <v>113942.15999999999</v>
      </c>
    </row>
    <row r="8" spans="2:10" x14ac:dyDescent="0.3">
      <c r="B8" s="2" t="s">
        <v>8</v>
      </c>
      <c r="C8" s="2" t="s">
        <v>9</v>
      </c>
      <c r="D8" s="2" t="s">
        <v>25</v>
      </c>
      <c r="E8" s="2" t="s">
        <v>19</v>
      </c>
      <c r="F8" s="3">
        <v>46076</v>
      </c>
      <c r="G8" s="10" t="s">
        <v>20</v>
      </c>
      <c r="H8" s="9">
        <v>154700</v>
      </c>
      <c r="I8" s="9">
        <f>+Tabla1[[#This Row],[Subtotal]]*0.16</f>
        <v>24752</v>
      </c>
      <c r="J8" s="9">
        <f>+Tabla1[[#This Row],[Subtotal]]*1.16</f>
        <v>179452</v>
      </c>
    </row>
    <row r="9" spans="2:10" x14ac:dyDescent="0.3">
      <c r="B9" s="2" t="s">
        <v>8</v>
      </c>
      <c r="C9" s="2" t="s">
        <v>9</v>
      </c>
      <c r="D9" s="2" t="s">
        <v>26</v>
      </c>
      <c r="E9" s="2" t="s">
        <v>27</v>
      </c>
      <c r="F9" s="3">
        <v>46079</v>
      </c>
      <c r="G9" s="10" t="s">
        <v>20</v>
      </c>
      <c r="H9" s="9">
        <v>141605</v>
      </c>
      <c r="I9" s="9">
        <f>+Tabla1[[#This Row],[Subtotal]]*0.16</f>
        <v>22656.799999999999</v>
      </c>
      <c r="J9" s="9">
        <f>+Tabla1[[#This Row],[Subtotal]]*1.16</f>
        <v>164261.79999999999</v>
      </c>
    </row>
    <row r="10" spans="2:10" x14ac:dyDescent="0.3">
      <c r="B10" s="2" t="s">
        <v>8</v>
      </c>
      <c r="C10" s="2" t="s">
        <v>9</v>
      </c>
      <c r="D10" s="2" t="s">
        <v>28</v>
      </c>
      <c r="E10" s="2" t="s">
        <v>29</v>
      </c>
      <c r="F10" s="3">
        <v>46087</v>
      </c>
      <c r="G10" s="10" t="s">
        <v>20</v>
      </c>
      <c r="H10" s="9">
        <v>42415</v>
      </c>
      <c r="I10" s="9">
        <f>+Tabla1[[#This Row],[Subtotal]]*0.16</f>
        <v>6786.4000000000005</v>
      </c>
      <c r="J10" s="9">
        <f>+Tabla1[[#This Row],[Subtotal]]*1.16</f>
        <v>49201.399999999994</v>
      </c>
    </row>
    <row r="11" spans="2:10" x14ac:dyDescent="0.3">
      <c r="B11" s="2" t="s">
        <v>8</v>
      </c>
      <c r="C11" s="2" t="s">
        <v>9</v>
      </c>
      <c r="D11" s="2" t="s">
        <v>30</v>
      </c>
      <c r="E11" s="2" t="s">
        <v>31</v>
      </c>
      <c r="F11" s="3">
        <v>46094</v>
      </c>
      <c r="G11" s="10" t="s">
        <v>20</v>
      </c>
      <c r="H11" s="9">
        <v>40815</v>
      </c>
      <c r="I11" s="9">
        <f>+Tabla1[[#This Row],[Subtotal]]*0.16</f>
        <v>6530.4000000000005</v>
      </c>
      <c r="J11" s="9">
        <f>+Tabla1[[#This Row],[Subtotal]]*1.16</f>
        <v>47345.399999999994</v>
      </c>
    </row>
    <row r="12" spans="2:10" x14ac:dyDescent="0.3">
      <c r="B12" s="2" t="s">
        <v>8</v>
      </c>
      <c r="C12" s="2" t="s">
        <v>9</v>
      </c>
      <c r="D12" s="2" t="s">
        <v>33</v>
      </c>
      <c r="E12" s="2" t="s">
        <v>32</v>
      </c>
      <c r="F12" s="3">
        <v>46101</v>
      </c>
      <c r="G12" s="10" t="s">
        <v>20</v>
      </c>
      <c r="H12" s="9">
        <v>53300</v>
      </c>
      <c r="I12" s="9">
        <f>+Tabla1[[#This Row],[Subtotal]]*0.16</f>
        <v>8528</v>
      </c>
      <c r="J12" s="9">
        <f>+Tabla1[[#This Row],[Subtotal]]*1.16</f>
        <v>61827.999999999993</v>
      </c>
    </row>
    <row r="13" spans="2:10" x14ac:dyDescent="0.3">
      <c r="B13" s="2" t="s">
        <v>8</v>
      </c>
      <c r="C13" s="2" t="s">
        <v>9</v>
      </c>
      <c r="D13" s="2" t="s">
        <v>34</v>
      </c>
      <c r="E13" s="2" t="s">
        <v>35</v>
      </c>
      <c r="F13" s="3">
        <v>46107</v>
      </c>
      <c r="G13" s="10" t="s">
        <v>20</v>
      </c>
      <c r="H13" s="9">
        <v>52610</v>
      </c>
      <c r="I13" s="9">
        <f>+Tabla1[[#This Row],[Subtotal]]*0.16</f>
        <v>8417.6</v>
      </c>
      <c r="J13" s="9">
        <f>+Tabla1[[#This Row],[Subtotal]]*1.16</f>
        <v>61027.6</v>
      </c>
    </row>
    <row r="14" spans="2:10" x14ac:dyDescent="0.3">
      <c r="B14" s="2" t="s">
        <v>8</v>
      </c>
      <c r="C14" s="2" t="s">
        <v>9</v>
      </c>
      <c r="D14" s="2" t="s">
        <v>36</v>
      </c>
      <c r="E14" s="2" t="s">
        <v>37</v>
      </c>
      <c r="F14" s="3">
        <v>46113</v>
      </c>
      <c r="G14" s="10" t="s">
        <v>20</v>
      </c>
      <c r="H14" s="9">
        <v>54795</v>
      </c>
      <c r="I14" s="9">
        <f>+Tabla1[[#This Row],[Subtotal]]*0.16</f>
        <v>8767.2000000000007</v>
      </c>
      <c r="J14" s="9">
        <f>+Tabla1[[#This Row],[Subtotal]]*1.16</f>
        <v>63562.2</v>
      </c>
    </row>
    <row r="15" spans="2:10" x14ac:dyDescent="0.3">
      <c r="B15" s="2" t="s">
        <v>8</v>
      </c>
      <c r="C15" s="2" t="s">
        <v>9</v>
      </c>
      <c r="D15" s="2" t="s">
        <v>38</v>
      </c>
      <c r="E15" s="2" t="s">
        <v>39</v>
      </c>
      <c r="F15" s="3">
        <v>46122</v>
      </c>
      <c r="G15" s="10" t="s">
        <v>20</v>
      </c>
      <c r="H15" s="9">
        <v>34715</v>
      </c>
      <c r="I15" s="9">
        <f>+Tabla1[[#This Row],[Subtotal]]*0.16</f>
        <v>5554.4000000000005</v>
      </c>
      <c r="J15" s="9">
        <f>+Tabla1[[#This Row],[Subtotal]]*1.16</f>
        <v>40269.399999999994</v>
      </c>
    </row>
    <row r="16" spans="2:10" x14ac:dyDescent="0.3">
      <c r="B16" s="2" t="s">
        <v>8</v>
      </c>
      <c r="C16" s="2" t="s">
        <v>9</v>
      </c>
      <c r="D16" s="2" t="s">
        <v>40</v>
      </c>
      <c r="E16" s="2" t="s">
        <v>41</v>
      </c>
      <c r="F16" s="3">
        <v>46076</v>
      </c>
      <c r="G16" s="10" t="s">
        <v>42</v>
      </c>
      <c r="H16" s="9">
        <v>157536</v>
      </c>
      <c r="I16" s="9">
        <f>+Tabla1[[#This Row],[Subtotal]]*0.16</f>
        <v>25205.760000000002</v>
      </c>
      <c r="J16" s="9">
        <f>+Tabla1[[#This Row],[Subtotal]]*1.16</f>
        <v>182741.75999999998</v>
      </c>
    </row>
    <row r="17" spans="2:10" x14ac:dyDescent="0.3">
      <c r="B17" s="2" t="s">
        <v>8</v>
      </c>
      <c r="C17" s="2" t="s">
        <v>9</v>
      </c>
      <c r="D17" s="2" t="s">
        <v>43</v>
      </c>
      <c r="E17" s="2" t="s">
        <v>44</v>
      </c>
      <c r="F17" s="3">
        <v>46079</v>
      </c>
      <c r="G17" s="10" t="s">
        <v>42</v>
      </c>
      <c r="H17" s="9">
        <v>134844</v>
      </c>
      <c r="I17" s="9">
        <f>+Tabla1[[#This Row],[Subtotal]]*0.16</f>
        <v>21575.040000000001</v>
      </c>
      <c r="J17" s="9">
        <f>+Tabla1[[#This Row],[Subtotal]]*1.16</f>
        <v>156419.03999999998</v>
      </c>
    </row>
    <row r="18" spans="2:10" x14ac:dyDescent="0.3">
      <c r="B18" s="2" t="s">
        <v>8</v>
      </c>
      <c r="C18" s="2" t="s">
        <v>9</v>
      </c>
      <c r="D18" s="2" t="s">
        <v>45</v>
      </c>
      <c r="E18" s="2" t="s">
        <v>46</v>
      </c>
      <c r="F18" s="3">
        <v>46087</v>
      </c>
      <c r="G18" s="10" t="s">
        <v>42</v>
      </c>
      <c r="H18" s="9">
        <v>74754</v>
      </c>
      <c r="I18" s="9">
        <f>+Tabla1[[#This Row],[Subtotal]]*0.16</f>
        <v>11960.64</v>
      </c>
      <c r="J18" s="9">
        <f>+Tabla1[[#This Row],[Subtotal]]*1.16</f>
        <v>86714.64</v>
      </c>
    </row>
    <row r="19" spans="2:10" x14ac:dyDescent="0.3">
      <c r="B19" s="2" t="s">
        <v>8</v>
      </c>
      <c r="C19" s="2" t="s">
        <v>9</v>
      </c>
      <c r="D19" s="2" t="s">
        <v>47</v>
      </c>
      <c r="E19" s="2" t="s">
        <v>48</v>
      </c>
      <c r="F19" s="3">
        <v>46098</v>
      </c>
      <c r="G19" s="10" t="s">
        <v>42</v>
      </c>
      <c r="H19" s="9">
        <v>74893.5</v>
      </c>
      <c r="I19" s="9">
        <f>+Tabla1[[#This Row],[Subtotal]]*0.16</f>
        <v>11982.960000000001</v>
      </c>
      <c r="J19" s="9">
        <f>+Tabla1[[#This Row],[Subtotal]]*1.16</f>
        <v>86876.459999999992</v>
      </c>
    </row>
    <row r="20" spans="2:10" x14ac:dyDescent="0.3">
      <c r="B20" s="2" t="s">
        <v>8</v>
      </c>
      <c r="C20" s="2" t="s">
        <v>9</v>
      </c>
      <c r="D20" s="2" t="s">
        <v>49</v>
      </c>
      <c r="E20" s="2" t="s">
        <v>50</v>
      </c>
      <c r="F20" s="3">
        <v>46101</v>
      </c>
      <c r="G20" s="10" t="s">
        <v>42</v>
      </c>
      <c r="H20" s="9">
        <v>80617.5</v>
      </c>
      <c r="I20" s="9">
        <f>+Tabla1[[#This Row],[Subtotal]]*0.16</f>
        <v>12898.800000000001</v>
      </c>
      <c r="J20" s="9">
        <f>+Tabla1[[#This Row],[Subtotal]]*1.16</f>
        <v>93516.299999999988</v>
      </c>
    </row>
    <row r="21" spans="2:10" x14ac:dyDescent="0.3">
      <c r="B21" s="2" t="s">
        <v>8</v>
      </c>
      <c r="C21" s="2" t="s">
        <v>9</v>
      </c>
      <c r="D21" s="2" t="s">
        <v>51</v>
      </c>
      <c r="E21" s="2" t="s">
        <v>52</v>
      </c>
      <c r="F21" s="3">
        <v>46107</v>
      </c>
      <c r="G21" s="10" t="s">
        <v>42</v>
      </c>
      <c r="H21" s="9">
        <v>74875.5</v>
      </c>
      <c r="I21" s="9">
        <f>+Tabla1[[#This Row],[Subtotal]]*0.16</f>
        <v>11980.08</v>
      </c>
      <c r="J21" s="9">
        <f>+Tabla1[[#This Row],[Subtotal]]*1.16</f>
        <v>86855.579999999987</v>
      </c>
    </row>
    <row r="22" spans="2:10" x14ac:dyDescent="0.3">
      <c r="B22" s="2" t="s">
        <v>8</v>
      </c>
      <c r="C22" s="2" t="s">
        <v>9</v>
      </c>
      <c r="D22" s="2" t="s">
        <v>53</v>
      </c>
      <c r="E22" s="2" t="s">
        <v>54</v>
      </c>
      <c r="F22" s="3">
        <v>46113</v>
      </c>
      <c r="G22" s="10" t="s">
        <v>42</v>
      </c>
      <c r="H22" s="9">
        <v>76441.5</v>
      </c>
      <c r="I22" s="9">
        <f>+Tabla1[[#This Row],[Subtotal]]*0.16</f>
        <v>12230.64</v>
      </c>
      <c r="J22" s="9">
        <f>+Tabla1[[#This Row],[Subtotal]]*1.16</f>
        <v>88672.14</v>
      </c>
    </row>
    <row r="23" spans="2:10" x14ac:dyDescent="0.3">
      <c r="B23" s="2" t="s">
        <v>8</v>
      </c>
      <c r="C23" s="2" t="s">
        <v>9</v>
      </c>
      <c r="D23" s="2" t="s">
        <v>55</v>
      </c>
      <c r="E23" s="2" t="s">
        <v>56</v>
      </c>
      <c r="F23" s="3">
        <v>46122</v>
      </c>
      <c r="G23" s="10" t="s">
        <v>42</v>
      </c>
      <c r="H23" s="9">
        <v>53680.5</v>
      </c>
      <c r="I23" s="9">
        <f>+Tabla1[[#This Row],[Subtotal]]*0.16</f>
        <v>8588.880000000001</v>
      </c>
      <c r="J23" s="9">
        <f>+Tabla1[[#This Row],[Subtotal]]*1.16</f>
        <v>62269.38</v>
      </c>
    </row>
    <row r="24" spans="2:10" x14ac:dyDescent="0.3">
      <c r="B24" s="2" t="s">
        <v>8</v>
      </c>
      <c r="C24" s="2" t="s">
        <v>9</v>
      </c>
      <c r="D24" s="2" t="s">
        <v>58</v>
      </c>
      <c r="E24" s="2" t="s">
        <v>59</v>
      </c>
      <c r="F24" s="3">
        <v>46076</v>
      </c>
      <c r="G24" s="10" t="s">
        <v>57</v>
      </c>
      <c r="H24" s="9">
        <v>135289.5</v>
      </c>
      <c r="I24" s="9">
        <f>+Tabla1[[#This Row],[Subtotal]]*0.16</f>
        <v>21646.32</v>
      </c>
      <c r="J24" s="9">
        <f>+Tabla1[[#This Row],[Subtotal]]*1.16</f>
        <v>156935.81999999998</v>
      </c>
    </row>
    <row r="25" spans="2:10" x14ac:dyDescent="0.3">
      <c r="B25" s="2" t="s">
        <v>8</v>
      </c>
      <c r="C25" s="2" t="s">
        <v>9</v>
      </c>
      <c r="D25" s="2" t="s">
        <v>60</v>
      </c>
      <c r="E25" s="2" t="s">
        <v>61</v>
      </c>
      <c r="F25" s="3">
        <v>46079</v>
      </c>
      <c r="G25" s="10" t="s">
        <v>57</v>
      </c>
      <c r="H25" s="9">
        <v>91664.1</v>
      </c>
      <c r="I25" s="9">
        <f>+Tabla1[[#This Row],[Subtotal]]*0.16</f>
        <v>14666.256000000001</v>
      </c>
      <c r="J25" s="9">
        <f>+Tabla1[[#This Row],[Subtotal]]*1.16</f>
        <v>106330.356</v>
      </c>
    </row>
    <row r="26" spans="2:10" x14ac:dyDescent="0.3">
      <c r="B26" s="2" t="s">
        <v>8</v>
      </c>
      <c r="C26" s="2" t="s">
        <v>9</v>
      </c>
      <c r="D26" s="2" t="s">
        <v>62</v>
      </c>
      <c r="E26" s="2" t="s">
        <v>63</v>
      </c>
      <c r="F26" s="3">
        <v>46087</v>
      </c>
      <c r="G26" s="10" t="s">
        <v>57</v>
      </c>
      <c r="H26" s="9">
        <v>19058.5</v>
      </c>
      <c r="I26" s="9">
        <f>+Tabla1[[#This Row],[Subtotal]]*0.16</f>
        <v>3049.36</v>
      </c>
      <c r="J26" s="9">
        <f>+Tabla1[[#This Row],[Subtotal]]*1.16</f>
        <v>22107.859999999997</v>
      </c>
    </row>
    <row r="27" spans="2:10" x14ac:dyDescent="0.3">
      <c r="B27" s="2" t="s">
        <v>8</v>
      </c>
      <c r="C27" s="2" t="s">
        <v>9</v>
      </c>
      <c r="D27" s="2" t="s">
        <v>64</v>
      </c>
      <c r="E27" s="2" t="s">
        <v>65</v>
      </c>
      <c r="F27" s="3">
        <v>46094</v>
      </c>
      <c r="G27" s="10" t="s">
        <v>57</v>
      </c>
      <c r="H27" s="9">
        <v>17716.650000000001</v>
      </c>
      <c r="I27" s="9">
        <f>+Tabla1[[#This Row],[Subtotal]]*0.16</f>
        <v>2834.6640000000002</v>
      </c>
      <c r="J27" s="9">
        <f>+Tabla1[[#This Row],[Subtotal]]*1.16</f>
        <v>20551.313999999998</v>
      </c>
    </row>
    <row r="28" spans="2:10" x14ac:dyDescent="0.3">
      <c r="B28" s="2" t="s">
        <v>8</v>
      </c>
      <c r="C28" s="2" t="s">
        <v>9</v>
      </c>
      <c r="D28" s="2" t="s">
        <v>66</v>
      </c>
      <c r="E28" s="2" t="s">
        <v>67</v>
      </c>
      <c r="F28" s="3">
        <v>46101</v>
      </c>
      <c r="G28" s="10" t="s">
        <v>57</v>
      </c>
      <c r="H28" s="9">
        <v>14229.25</v>
      </c>
      <c r="I28" s="9">
        <f>+Tabla1[[#This Row],[Subtotal]]*0.16</f>
        <v>2276.6799999999998</v>
      </c>
      <c r="J28" s="9">
        <f>+Tabla1[[#This Row],[Subtotal]]*1.16</f>
        <v>16505.93</v>
      </c>
    </row>
    <row r="29" spans="2:10" x14ac:dyDescent="0.3">
      <c r="B29" s="2" t="s">
        <v>8</v>
      </c>
      <c r="C29" s="2" t="s">
        <v>9</v>
      </c>
      <c r="D29" s="2" t="s">
        <v>69</v>
      </c>
      <c r="E29" s="2" t="s">
        <v>68</v>
      </c>
      <c r="F29" s="3">
        <v>46108</v>
      </c>
      <c r="G29" s="10" t="s">
        <v>57</v>
      </c>
      <c r="H29" s="9">
        <v>13888.5</v>
      </c>
      <c r="I29" s="9">
        <f>+Tabla1[[#This Row],[Subtotal]]*0.16</f>
        <v>2222.16</v>
      </c>
      <c r="J29" s="9">
        <f>+Tabla1[[#This Row],[Subtotal]]*1.16</f>
        <v>16110.659999999998</v>
      </c>
    </row>
    <row r="30" spans="2:10" x14ac:dyDescent="0.3">
      <c r="B30" s="2" t="s">
        <v>8</v>
      </c>
      <c r="C30" s="2" t="s">
        <v>9</v>
      </c>
      <c r="D30" s="2" t="s">
        <v>70</v>
      </c>
      <c r="E30" s="2" t="s">
        <v>71</v>
      </c>
      <c r="F30" s="3">
        <v>46113</v>
      </c>
      <c r="G30" s="10" t="s">
        <v>57</v>
      </c>
      <c r="H30" s="9">
        <v>13298.65</v>
      </c>
      <c r="I30" s="9">
        <f>+Tabla1[[#This Row],[Subtotal]]*0.16</f>
        <v>2127.7840000000001</v>
      </c>
      <c r="J30" s="9">
        <f>+Tabla1[[#This Row],[Subtotal]]*1.16</f>
        <v>15426.433999999999</v>
      </c>
    </row>
    <row r="31" spans="2:10" x14ac:dyDescent="0.3">
      <c r="B31" s="2" t="s">
        <v>8</v>
      </c>
      <c r="C31" s="2" t="s">
        <v>9</v>
      </c>
      <c r="D31" s="2" t="s">
        <v>72</v>
      </c>
      <c r="E31" s="2" t="s">
        <v>73</v>
      </c>
      <c r="F31" s="3">
        <v>46122</v>
      </c>
      <c r="G31" s="10" t="s">
        <v>57</v>
      </c>
      <c r="H31" s="9">
        <v>11256.5</v>
      </c>
      <c r="I31" s="9">
        <f>+Tabla1[[#This Row],[Subtotal]]*0.16</f>
        <v>1801.04</v>
      </c>
      <c r="J31" s="9">
        <f>+Tabla1[[#This Row],[Subtotal]]*1.16</f>
        <v>13057.539999999999</v>
      </c>
    </row>
    <row r="32" spans="2:10" x14ac:dyDescent="0.3">
      <c r="B32" s="2" t="s">
        <v>8</v>
      </c>
      <c r="C32" s="2" t="s">
        <v>9</v>
      </c>
      <c r="D32" s="2" t="s">
        <v>75</v>
      </c>
      <c r="E32" s="2" t="s">
        <v>76</v>
      </c>
      <c r="F32" s="3">
        <v>46136</v>
      </c>
      <c r="G32" s="10" t="s">
        <v>20</v>
      </c>
      <c r="H32" s="9">
        <v>36250</v>
      </c>
      <c r="I32" s="9">
        <f>+Tabla1[[#This Row],[Subtotal]]*0.16</f>
        <v>5800</v>
      </c>
      <c r="J32" s="9">
        <f>+Tabla1[[#This Row],[Subtotal]]*1.16</f>
        <v>42050</v>
      </c>
    </row>
    <row r="33" spans="2:10" x14ac:dyDescent="0.3">
      <c r="B33" s="2" t="s">
        <v>8</v>
      </c>
      <c r="C33" s="2" t="s">
        <v>9</v>
      </c>
      <c r="D33" s="2" t="s">
        <v>77</v>
      </c>
      <c r="E33" s="2" t="s">
        <v>78</v>
      </c>
      <c r="F33" s="3">
        <v>46136</v>
      </c>
      <c r="G33" s="10" t="s">
        <v>42</v>
      </c>
      <c r="H33" s="9">
        <v>71514</v>
      </c>
      <c r="I33" s="9">
        <f>+Tabla1[[#This Row],[Subtotal]]*0.16</f>
        <v>11442.24</v>
      </c>
      <c r="J33" s="9">
        <f>+Tabla1[[#This Row],[Subtotal]]*1.16</f>
        <v>82956.239999999991</v>
      </c>
    </row>
    <row r="34" spans="2:10" x14ac:dyDescent="0.3">
      <c r="B34" s="2" t="s">
        <v>8</v>
      </c>
      <c r="C34" s="2" t="s">
        <v>9</v>
      </c>
      <c r="D34" s="2" t="s">
        <v>79</v>
      </c>
      <c r="E34" s="2" t="s">
        <v>80</v>
      </c>
      <c r="F34" s="3">
        <v>46136</v>
      </c>
      <c r="G34" s="10" t="s">
        <v>57</v>
      </c>
      <c r="H34" s="9">
        <v>11272.95</v>
      </c>
      <c r="I34" s="9">
        <f>+Tabla1[[#This Row],[Subtotal]]*0.16</f>
        <v>1803.6720000000003</v>
      </c>
      <c r="J34" s="9">
        <f>+Tabla1[[#This Row],[Subtotal]]*1.16</f>
        <v>13076.621999999999</v>
      </c>
    </row>
    <row r="35" spans="2:10" hidden="1" x14ac:dyDescent="0.3">
      <c r="B35" s="7"/>
      <c r="C35" s="7"/>
      <c r="D35" s="2"/>
      <c r="E35" s="2"/>
      <c r="F35" s="3"/>
      <c r="G35" s="3"/>
      <c r="H35" s="9">
        <v>1</v>
      </c>
      <c r="I35" s="9">
        <f>+Tabla1[[#This Row],[Subtotal]]*0.16</f>
        <v>0.16</v>
      </c>
      <c r="J35" s="9">
        <f>+Tabla1[[#This Row],[Subtotal]]*1.16</f>
        <v>1.1599999999999999</v>
      </c>
    </row>
    <row r="36" spans="2:10" hidden="1" x14ac:dyDescent="0.3">
      <c r="B36" s="7"/>
      <c r="C36" s="7"/>
      <c r="D36" s="2"/>
      <c r="E36" s="2"/>
      <c r="F36" s="3"/>
      <c r="G36" s="3"/>
      <c r="H36" s="9">
        <v>1</v>
      </c>
      <c r="I36" s="9">
        <f>+Tabla1[[#This Row],[Subtotal]]*0.16</f>
        <v>0.16</v>
      </c>
      <c r="J36" s="9">
        <f>+Tabla1[[#This Row],[Subtotal]]*1.16</f>
        <v>1.1599999999999999</v>
      </c>
    </row>
    <row r="37" spans="2:10" hidden="1" x14ac:dyDescent="0.3">
      <c r="B37" s="7"/>
      <c r="C37" s="7"/>
      <c r="D37" s="2"/>
      <c r="E37" s="2"/>
      <c r="F37" s="3"/>
      <c r="G37" s="3"/>
      <c r="H37" s="9">
        <v>1</v>
      </c>
      <c r="I37" s="9">
        <f>+Tabla1[[#This Row],[Subtotal]]*0.16</f>
        <v>0.16</v>
      </c>
      <c r="J37" s="9">
        <f>+Tabla1[[#This Row],[Subtotal]]*1.16</f>
        <v>1.1599999999999999</v>
      </c>
    </row>
    <row r="38" spans="2:10" hidden="1" x14ac:dyDescent="0.3">
      <c r="B38" s="7"/>
      <c r="C38" s="7"/>
      <c r="D38" s="2"/>
      <c r="E38" s="2"/>
      <c r="F38" s="3"/>
      <c r="G38" s="3"/>
      <c r="H38" s="9">
        <v>1</v>
      </c>
      <c r="I38" s="9">
        <f>+Tabla1[[#This Row],[Subtotal]]*0.16</f>
        <v>0.16</v>
      </c>
      <c r="J38" s="9">
        <f>+Tabla1[[#This Row],[Subtotal]]*1.16</f>
        <v>1.1599999999999999</v>
      </c>
    </row>
    <row r="39" spans="2:10" hidden="1" x14ac:dyDescent="0.3">
      <c r="B39" s="7"/>
      <c r="C39" s="7"/>
      <c r="D39" s="2"/>
      <c r="E39" s="2"/>
      <c r="F39" s="3"/>
      <c r="G39" s="3"/>
      <c r="H39" s="9">
        <v>1</v>
      </c>
      <c r="I39" s="9">
        <f>+Tabla1[[#This Row],[Subtotal]]*0.16</f>
        <v>0.16</v>
      </c>
      <c r="J39" s="9">
        <f>+Tabla1[[#This Row],[Subtotal]]*1.16</f>
        <v>1.1599999999999999</v>
      </c>
    </row>
    <row r="40" spans="2:10" hidden="1" x14ac:dyDescent="0.3">
      <c r="B40" s="7"/>
      <c r="C40" s="7"/>
      <c r="D40" s="2"/>
      <c r="E40" s="2"/>
      <c r="F40" s="3"/>
      <c r="G40" s="3"/>
      <c r="H40" s="9">
        <v>1</v>
      </c>
      <c r="I40" s="9">
        <f>+Tabla1[[#This Row],[Subtotal]]*0.16</f>
        <v>0.16</v>
      </c>
      <c r="J40" s="9">
        <f>+Tabla1[[#This Row],[Subtotal]]*1.16</f>
        <v>1.1599999999999999</v>
      </c>
    </row>
    <row r="41" spans="2:10" hidden="1" x14ac:dyDescent="0.3">
      <c r="B41" s="7"/>
      <c r="C41" s="7"/>
      <c r="D41" s="2"/>
      <c r="E41" s="2"/>
      <c r="F41" s="3"/>
      <c r="G41" s="3"/>
      <c r="H41" s="9">
        <v>1</v>
      </c>
      <c r="I41" s="9">
        <f>+Tabla1[[#This Row],[Subtotal]]*0.16</f>
        <v>0.16</v>
      </c>
      <c r="J41" s="9">
        <f>+Tabla1[[#This Row],[Subtotal]]*1.16</f>
        <v>1.1599999999999999</v>
      </c>
    </row>
    <row r="42" spans="2:10" hidden="1" x14ac:dyDescent="0.3">
      <c r="B42" s="7"/>
      <c r="C42" s="7"/>
      <c r="D42" s="2"/>
      <c r="E42" s="2"/>
      <c r="F42" s="3"/>
      <c r="G42" s="3"/>
      <c r="H42" s="9">
        <v>1</v>
      </c>
      <c r="I42" s="9">
        <f>+Tabla1[[#This Row],[Subtotal]]*0.16</f>
        <v>0.16</v>
      </c>
      <c r="J42" s="9">
        <f>+Tabla1[[#This Row],[Subtotal]]*1.16</f>
        <v>1.1599999999999999</v>
      </c>
    </row>
    <row r="43" spans="2:10" hidden="1" x14ac:dyDescent="0.3">
      <c r="B43" s="7"/>
      <c r="C43" s="7"/>
      <c r="D43" s="2"/>
      <c r="E43" s="2"/>
      <c r="F43" s="3"/>
      <c r="G43" s="3"/>
      <c r="H43" s="9">
        <v>1</v>
      </c>
      <c r="I43" s="9">
        <f>+Tabla1[[#This Row],[Subtotal]]*0.16</f>
        <v>0.16</v>
      </c>
      <c r="J43" s="9">
        <f>+Tabla1[[#This Row],[Subtotal]]*1.16</f>
        <v>1.1599999999999999</v>
      </c>
    </row>
    <row r="44" spans="2:10" hidden="1" x14ac:dyDescent="0.3">
      <c r="B44" s="7"/>
      <c r="C44" s="7"/>
      <c r="D44" s="2"/>
      <c r="E44" s="2"/>
      <c r="F44" s="3"/>
      <c r="G44" s="3"/>
      <c r="H44" s="9">
        <v>1</v>
      </c>
      <c r="I44" s="9">
        <f>+Tabla1[[#This Row],[Subtotal]]*0.16</f>
        <v>0.16</v>
      </c>
      <c r="J44" s="9">
        <f>+Tabla1[[#This Row],[Subtotal]]*1.16</f>
        <v>1.1599999999999999</v>
      </c>
    </row>
    <row r="45" spans="2:10" hidden="1" x14ac:dyDescent="0.3">
      <c r="B45" s="7"/>
      <c r="C45" s="7"/>
      <c r="D45" s="2"/>
      <c r="E45" s="2"/>
      <c r="F45" s="3"/>
      <c r="G45" s="3"/>
      <c r="H45" s="9">
        <v>1</v>
      </c>
      <c r="I45" s="9">
        <f>+Tabla1[[#This Row],[Subtotal]]*0.16</f>
        <v>0.16</v>
      </c>
      <c r="J45" s="9">
        <f>+Tabla1[[#This Row],[Subtotal]]*1.16</f>
        <v>1.1599999999999999</v>
      </c>
    </row>
    <row r="46" spans="2:10" hidden="1" x14ac:dyDescent="0.3">
      <c r="B46" s="7"/>
      <c r="C46" s="7"/>
      <c r="D46" s="2"/>
      <c r="E46" s="2"/>
      <c r="F46" s="3"/>
      <c r="G46" s="3"/>
      <c r="H46" s="9">
        <v>1</v>
      </c>
      <c r="I46" s="9">
        <f>+Tabla1[[#This Row],[Subtotal]]*0.16</f>
        <v>0.16</v>
      </c>
      <c r="J46" s="9">
        <f>+Tabla1[[#This Row],[Subtotal]]*1.16</f>
        <v>1.1599999999999999</v>
      </c>
    </row>
    <row r="47" spans="2:10" hidden="1" x14ac:dyDescent="0.3">
      <c r="B47" s="7"/>
      <c r="C47" s="7"/>
      <c r="D47" s="8"/>
      <c r="E47" s="2"/>
      <c r="F47" s="3"/>
      <c r="G47" s="3"/>
      <c r="H47" s="9">
        <v>1</v>
      </c>
      <c r="I47" s="9">
        <f>+Tabla1[[#This Row],[Subtotal]]*0.16</f>
        <v>0.16</v>
      </c>
      <c r="J47" s="9">
        <f>+Tabla1[[#This Row],[Subtotal]]*1.16</f>
        <v>1.1599999999999999</v>
      </c>
    </row>
    <row r="48" spans="2:10" x14ac:dyDescent="0.3">
      <c r="B48" s="2" t="s">
        <v>8</v>
      </c>
      <c r="C48" s="2" t="s">
        <v>9</v>
      </c>
      <c r="D48" s="2" t="s">
        <v>81</v>
      </c>
      <c r="E48" s="2" t="s">
        <v>82</v>
      </c>
      <c r="F48" s="12">
        <v>46142</v>
      </c>
      <c r="G48" s="10" t="s">
        <v>20</v>
      </c>
      <c r="H48" s="9">
        <v>32975</v>
      </c>
      <c r="I48" s="13">
        <f>+Tabla1[[#This Row],[Subtotal]]*0.16</f>
        <v>5276</v>
      </c>
      <c r="J48" s="13">
        <f>+Tabla1[[#This Row],[Subtotal]]*1.16</f>
        <v>38251</v>
      </c>
    </row>
    <row r="49" spans="2:10" x14ac:dyDescent="0.3">
      <c r="B49" s="2" t="s">
        <v>8</v>
      </c>
      <c r="C49" s="2" t="s">
        <v>9</v>
      </c>
      <c r="D49" s="2" t="s">
        <v>83</v>
      </c>
      <c r="E49" s="2" t="s">
        <v>84</v>
      </c>
      <c r="F49" s="12">
        <v>46142</v>
      </c>
      <c r="G49" s="10" t="s">
        <v>42</v>
      </c>
      <c r="H49" s="9">
        <v>67621.5</v>
      </c>
      <c r="I49" s="13">
        <f>+Tabla1[[#This Row],[Subtotal]]*0.16</f>
        <v>10819.44</v>
      </c>
      <c r="J49" s="13">
        <f>+Tabla1[[#This Row],[Subtotal]]*1.16</f>
        <v>78440.939999999988</v>
      </c>
    </row>
    <row r="50" spans="2:10" x14ac:dyDescent="0.3">
      <c r="B50" s="2" t="s">
        <v>8</v>
      </c>
      <c r="C50" s="2" t="s">
        <v>9</v>
      </c>
      <c r="D50" s="2" t="s">
        <v>85</v>
      </c>
      <c r="E50" s="2" t="s">
        <v>86</v>
      </c>
      <c r="F50" s="12">
        <v>46142</v>
      </c>
      <c r="G50" s="10" t="s">
        <v>57</v>
      </c>
      <c r="H50" s="9">
        <v>12826.3</v>
      </c>
      <c r="I50" s="13">
        <f>+Tabla1[[#This Row],[Subtotal]]*0.16</f>
        <v>2052.2080000000001</v>
      </c>
      <c r="J50" s="13">
        <f>+Tabla1[[#This Row],[Subtotal]]*1.16</f>
        <v>14878.507999999998</v>
      </c>
    </row>
  </sheetData>
  <mergeCells count="1">
    <mergeCell ref="B1:J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Airis Office</dc:creator>
  <cp:lastModifiedBy>Airis Office</cp:lastModifiedBy>
  <dcterms:created xsi:type="dcterms:W3CDTF">2026-04-15T22:50:44Z</dcterms:created>
  <dcterms:modified xsi:type="dcterms:W3CDTF">2026-04-30T20:03:11Z</dcterms:modified>
</cp:coreProperties>
</file>